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tt\Dropbox\Projects\serial-terminals\ampex-d175-terminal\"/>
    </mc:Choice>
  </mc:AlternateContent>
  <xr:revisionPtr revIDLastSave="0" documentId="13_ncr:1_{844224CA-EB15-4C43-9D7C-C71BC125D7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ponents" sheetId="1" r:id="rId1"/>
    <sheet name="video_timing" sheetId="3" r:id="rId2"/>
    <sheet name="video_timing_mis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F22" i="3"/>
  <c r="F23" i="3"/>
  <c r="F20" i="3"/>
  <c r="D23" i="3"/>
  <c r="B23" i="3"/>
  <c r="D21" i="3"/>
  <c r="D22" i="3"/>
  <c r="D20" i="3"/>
  <c r="F15" i="3"/>
  <c r="F16" i="3"/>
  <c r="F17" i="3"/>
  <c r="F18" i="3"/>
  <c r="F14" i="3"/>
  <c r="D15" i="3"/>
  <c r="D16" i="3"/>
  <c r="D17" i="3"/>
  <c r="D18" i="3"/>
  <c r="D14" i="3"/>
  <c r="G3" i="2"/>
</calcChain>
</file>

<file path=xl/sharedStrings.xml><?xml version="1.0" encoding="utf-8"?>
<sst xmlns="http://schemas.openxmlformats.org/spreadsheetml/2006/main" count="188" uniqueCount="146">
  <si>
    <t>Pin</t>
  </si>
  <si>
    <t>Color</t>
  </si>
  <si>
    <t>Blk</t>
  </si>
  <si>
    <t>Red</t>
  </si>
  <si>
    <t>5v</t>
  </si>
  <si>
    <t>Vcc</t>
  </si>
  <si>
    <t>Gnd</t>
  </si>
  <si>
    <t>Wht</t>
  </si>
  <si>
    <t>Purp</t>
  </si>
  <si>
    <t>Grn</t>
  </si>
  <si>
    <t>Blu</t>
  </si>
  <si>
    <t>Org</t>
  </si>
  <si>
    <t>19.86 KHz</t>
  </si>
  <si>
    <t>~ 3.6v</t>
  </si>
  <si>
    <t>60 Hz</t>
  </si>
  <si>
    <t>~4.8v</t>
  </si>
  <si>
    <t>Pixel</t>
  </si>
  <si>
    <t>3 - 4v</t>
  </si>
  <si>
    <t>Vid gnd?</t>
  </si>
  <si>
    <t>Video GND</t>
  </si>
  <si>
    <t>Video</t>
  </si>
  <si>
    <t>Hsync (pos)</t>
  </si>
  <si>
    <t>Vsync (pos)</t>
  </si>
  <si>
    <t>Yel</t>
  </si>
  <si>
    <t>J1 Pin 2  18V AC (relative to GND)</t>
  </si>
  <si>
    <t>11.8V</t>
  </si>
  <si>
    <t>Unreg V+ 10.9V</t>
  </si>
  <si>
    <t>C110</t>
  </si>
  <si>
    <t>C311</t>
  </si>
  <si>
    <t>C204</t>
  </si>
  <si>
    <t>Missing</t>
  </si>
  <si>
    <t>Unreg Pre-12v</t>
  </si>
  <si>
    <t>C108</t>
  </si>
  <si>
    <t>3300uf  35v</t>
  </si>
  <si>
    <t>Axial</t>
  </si>
  <si>
    <t>Unreg pre 5v</t>
  </si>
  <si>
    <t>C107</t>
  </si>
  <si>
    <t>10000uf 25v</t>
  </si>
  <si>
    <t>C501</t>
  </si>
  <si>
    <t>C502</t>
  </si>
  <si>
    <t>100uF 35v</t>
  </si>
  <si>
    <t>C109</t>
  </si>
  <si>
    <t>1uF 50v</t>
  </si>
  <si>
    <t>220 uF 16v</t>
  </si>
  <si>
    <t>C303</t>
  </si>
  <si>
    <t>0.47uF 50v</t>
  </si>
  <si>
    <t>C306</t>
  </si>
  <si>
    <t>C301</t>
  </si>
  <si>
    <t>C304</t>
  </si>
  <si>
    <t>10 uF 16v</t>
  </si>
  <si>
    <t>47 uF 25v</t>
  </si>
  <si>
    <t>C305</t>
  </si>
  <si>
    <t>C307</t>
  </si>
  <si>
    <t>2200 uF 16v</t>
  </si>
  <si>
    <t>C205</t>
  </si>
  <si>
    <t>C503</t>
  </si>
  <si>
    <t>100Uf 160v Axial</t>
  </si>
  <si>
    <t>100uF 10v</t>
  </si>
  <si>
    <t>Vsync</t>
  </si>
  <si>
    <t>Hsync</t>
  </si>
  <si>
    <t>Freq</t>
  </si>
  <si>
    <t>150 us</t>
  </si>
  <si>
    <t>16.52 ms</t>
  </si>
  <si>
    <t>Period</t>
  </si>
  <si>
    <t>16.67 ms</t>
  </si>
  <si>
    <t>50.35 us</t>
  </si>
  <si>
    <t>CCLK = 50.355/106</t>
  </si>
  <si>
    <t>0.475 us</t>
  </si>
  <si>
    <t>2.105 MHz</t>
  </si>
  <si>
    <t>~ 2.4 CCLK ?</t>
  </si>
  <si>
    <t>~ 23.558 CCLK ?</t>
  </si>
  <si>
    <t>33.56 CCLK long hsync pos ?</t>
  </si>
  <si>
    <t>~ 10 CCLK overlap</t>
  </si>
  <si>
    <t>HBP = space between hsync fall and pixel data start</t>
  </si>
  <si>
    <t>HFP = space between last pixel data and hsync rise</t>
  </si>
  <si>
    <t>VBP = 20 lines?</t>
  </si>
  <si>
    <t>or 21</t>
  </si>
  <si>
    <t>VFP = 20 ?</t>
  </si>
  <si>
    <t xml:space="preserve">Video (top left 1/2 block char) vs CCLK </t>
  </si>
  <si>
    <t>Vsync TTL to CRT = same as 2672 out</t>
  </si>
  <si>
    <t>Hsync TTL to CRT != 2672</t>
  </si>
  <si>
    <t>Hsync @ TTL CRT vs Hsync out of 2672</t>
  </si>
  <si>
    <t>@ CRT is ~ 260ns later</t>
  </si>
  <si>
    <t>@ CRT is way longer - 15.96 vs 3.8 us</t>
  </si>
  <si>
    <t>Hsync 2762</t>
  </si>
  <si>
    <t>Neg (us)</t>
  </si>
  <si>
    <t>Pos (us)</t>
  </si>
  <si>
    <t>CCLK</t>
  </si>
  <si>
    <t>HBP (at 2672) ~7.947us = 16.7 CCLK</t>
  </si>
  <si>
    <t>HFP (@ 2672) ~823ns = 1.75 CCLK</t>
  </si>
  <si>
    <t>should be 5   (2 with 2673)</t>
  </si>
  <si>
    <t>Should be 13 (16 with 2673)</t>
  </si>
  <si>
    <t>HFP</t>
  </si>
  <si>
    <t>HBP</t>
  </si>
  <si>
    <t>Hsync W</t>
  </si>
  <si>
    <t>us</t>
  </si>
  <si>
    <t>VFP</t>
  </si>
  <si>
    <t>VBP</t>
  </si>
  <si>
    <t>Vsync W</t>
  </si>
  <si>
    <t>lines</t>
  </si>
  <si>
    <t>Measured</t>
  </si>
  <si>
    <t>MHz</t>
  </si>
  <si>
    <t>DCLK @ 2673</t>
  </si>
  <si>
    <t>CCLK @ 2672</t>
  </si>
  <si>
    <t>CCLK @ 2673</t>
  </si>
  <si>
    <t>~ 0.067857 us</t>
  </si>
  <si>
    <t>CC0 2673</t>
  </si>
  <si>
    <t>CC1 2673</t>
  </si>
  <si>
    <t>CC2 2673</t>
  </si>
  <si>
    <t>7 dots / char</t>
  </si>
  <si>
    <t>~ 475ns = char 7 dots</t>
  </si>
  <si>
    <t>Pixel clock</t>
  </si>
  <si>
    <t>2672 (with 2673) @ 60Hz settings:</t>
  </si>
  <si>
    <t>NOTE:</t>
  </si>
  <si>
    <t>Hsync is stretched before it's sent to the CRT board</t>
  </si>
  <si>
    <t>It overlaps the video data some</t>
  </si>
  <si>
    <t>By LM556 U3, right side timer (pins 8-13)</t>
  </si>
  <si>
    <t>12v rail cap</t>
  </si>
  <si>
    <t xml:space="preserve">25uF 25v non-polar </t>
  </si>
  <si>
    <t>U101</t>
  </si>
  <si>
    <t>U102</t>
  </si>
  <si>
    <t>U301</t>
  </si>
  <si>
    <t>Q201</t>
  </si>
  <si>
    <t>Q202</t>
  </si>
  <si>
    <t>Q401</t>
  </si>
  <si>
    <t>T202</t>
  </si>
  <si>
    <t>NS401</t>
  </si>
  <si>
    <t>NS501</t>
  </si>
  <si>
    <t>Horiz 1</t>
  </si>
  <si>
    <t>Horiz 2</t>
  </si>
  <si>
    <t>MJ9434   NPN</t>
  </si>
  <si>
    <t>2N2896</t>
  </si>
  <si>
    <t>BU407</t>
  </si>
  <si>
    <t>NEC uPC1031H2</t>
  </si>
  <si>
    <t>MC7812CT</t>
  </si>
  <si>
    <t>LM323K</t>
  </si>
  <si>
    <t>HSIN LING 3512880-01</t>
  </si>
  <si>
    <t>NEON BULB</t>
  </si>
  <si>
    <t>Chars</t>
  </si>
  <si>
    <t>80 x 25</t>
  </si>
  <si>
    <t>Resolution</t>
  </si>
  <si>
    <t>560 x 300</t>
  </si>
  <si>
    <t>Total lines</t>
  </si>
  <si>
    <t>Line tot</t>
  </si>
  <si>
    <t>Pix</t>
  </si>
  <si>
    <t>Total V Blanking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</si>
</sst>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3" borderId="0" xfId="0" applyFill="1"/>
    <xf numFmtId="0" fontId="0" fillId="3" borderId="0" xfId="0" quotePrefix="1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16</xdr:col>
      <xdr:colOff>171450</xdr:colOff>
      <xdr:row>23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8954E-C0C9-1D6C-D2E5-D4CC5550C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714500"/>
          <a:ext cx="5048250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13</xdr:col>
      <xdr:colOff>504825</xdr:colOff>
      <xdr:row>28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5DCF53-D40C-E4C4-2AA7-B429542A9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8724900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11</xdr:col>
      <xdr:colOff>438150</xdr:colOff>
      <xdr:row>40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05B5A5-F20A-61A8-B255-A7B0C428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7439025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23</xdr:col>
      <xdr:colOff>457200</xdr:colOff>
      <xdr:row>54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A8439D-80C7-2529-B8F7-D65FC5B2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4773275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13</xdr:col>
      <xdr:colOff>266700</xdr:colOff>
      <xdr:row>67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70069C-9D37-2F2E-8CA5-969FE5637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84867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16</xdr:col>
      <xdr:colOff>142875</xdr:colOff>
      <xdr:row>81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EA102-6293-8EA8-3FBD-C7C2C4EB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0191750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19</xdr:col>
      <xdr:colOff>219075</xdr:colOff>
      <xdr:row>95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AF1EF4-FA88-86C3-15FB-111516D4A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096750" cy="2466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11</xdr:col>
      <xdr:colOff>495300</xdr:colOff>
      <xdr:row>112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025DEB-C5F5-4B5F-C8AB-2A110139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7000"/>
          <a:ext cx="7496175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11</xdr:col>
      <xdr:colOff>438150</xdr:colOff>
      <xdr:row>129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9D5733-7A3C-E6E2-8518-04BA10B4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26500"/>
          <a:ext cx="7439025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11</xdr:col>
      <xdr:colOff>542925</xdr:colOff>
      <xdr:row>147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FCFB15-704B-75F1-FB03-08D829B48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00"/>
          <a:ext cx="7543800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25</xdr:col>
      <xdr:colOff>400050</xdr:colOff>
      <xdr:row>167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2472E6-0EED-807D-EFC3-6B05EC110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0"/>
          <a:ext cx="15935325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25</xdr:col>
      <xdr:colOff>140915</xdr:colOff>
      <xdr:row>187</xdr:row>
      <xdr:rowOff>9167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370E70-3BF4-C517-98A6-498668CA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3909000"/>
          <a:ext cx="15676190" cy="2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A12" sqref="A12"/>
    </sheetView>
  </sheetViews>
  <sheetFormatPr defaultRowHeight="15" x14ac:dyDescent="0.25"/>
  <cols>
    <col min="2" max="2" width="20.5703125" customWidth="1"/>
    <col min="3" max="3" width="27.28515625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1</v>
      </c>
      <c r="B2" t="s">
        <v>2</v>
      </c>
      <c r="C2" t="s">
        <v>6</v>
      </c>
    </row>
    <row r="3" spans="1:5" x14ac:dyDescent="0.25">
      <c r="A3">
        <v>2</v>
      </c>
      <c r="B3" t="s">
        <v>23</v>
      </c>
      <c r="C3" t="s">
        <v>24</v>
      </c>
    </row>
    <row r="4" spans="1:5" x14ac:dyDescent="0.25">
      <c r="A4">
        <v>3</v>
      </c>
      <c r="B4" t="s">
        <v>10</v>
      </c>
      <c r="C4" t="s">
        <v>26</v>
      </c>
    </row>
    <row r="5" spans="1:5" x14ac:dyDescent="0.25">
      <c r="A5">
        <v>4</v>
      </c>
      <c r="B5" t="s">
        <v>11</v>
      </c>
      <c r="C5" t="s">
        <v>25</v>
      </c>
    </row>
    <row r="6" spans="1:5" x14ac:dyDescent="0.25">
      <c r="A6">
        <v>5</v>
      </c>
      <c r="B6" t="s">
        <v>2</v>
      </c>
      <c r="C6" t="s">
        <v>6</v>
      </c>
    </row>
    <row r="7" spans="1:5" x14ac:dyDescent="0.25">
      <c r="A7">
        <v>6</v>
      </c>
      <c r="B7" t="s">
        <v>3</v>
      </c>
      <c r="C7" t="s">
        <v>5</v>
      </c>
      <c r="D7" t="s">
        <v>4</v>
      </c>
    </row>
    <row r="8" spans="1:5" x14ac:dyDescent="0.25">
      <c r="A8">
        <v>7</v>
      </c>
      <c r="B8" t="s">
        <v>7</v>
      </c>
      <c r="C8" t="s">
        <v>20</v>
      </c>
      <c r="D8" t="s">
        <v>16</v>
      </c>
      <c r="E8" t="s">
        <v>17</v>
      </c>
    </row>
    <row r="9" spans="1:5" x14ac:dyDescent="0.25">
      <c r="A9">
        <v>8</v>
      </c>
      <c r="B9" t="s">
        <v>2</v>
      </c>
      <c r="C9" t="s">
        <v>19</v>
      </c>
      <c r="D9" t="s">
        <v>18</v>
      </c>
    </row>
    <row r="10" spans="1:5" x14ac:dyDescent="0.25">
      <c r="A10">
        <v>9</v>
      </c>
      <c r="B10" t="s">
        <v>8</v>
      </c>
      <c r="C10" t="s">
        <v>22</v>
      </c>
      <c r="D10" t="s">
        <v>14</v>
      </c>
      <c r="E10" t="s">
        <v>15</v>
      </c>
    </row>
    <row r="11" spans="1:5" x14ac:dyDescent="0.25">
      <c r="A11">
        <v>10</v>
      </c>
      <c r="B11" t="s">
        <v>9</v>
      </c>
      <c r="C11" t="s">
        <v>21</v>
      </c>
      <c r="D11" t="s">
        <v>12</v>
      </c>
      <c r="E11" t="s">
        <v>13</v>
      </c>
    </row>
    <row r="13" spans="1:5" x14ac:dyDescent="0.25">
      <c r="B13" t="s">
        <v>36</v>
      </c>
      <c r="C13" t="s">
        <v>37</v>
      </c>
      <c r="D13" t="s">
        <v>34</v>
      </c>
      <c r="E13" t="s">
        <v>35</v>
      </c>
    </row>
    <row r="14" spans="1:5" x14ac:dyDescent="0.25">
      <c r="B14" t="s">
        <v>32</v>
      </c>
      <c r="C14" t="s">
        <v>33</v>
      </c>
      <c r="D14" t="s">
        <v>34</v>
      </c>
      <c r="E14" t="s">
        <v>31</v>
      </c>
    </row>
    <row r="15" spans="1:5" x14ac:dyDescent="0.25">
      <c r="B15" t="s">
        <v>41</v>
      </c>
      <c r="C15" t="s">
        <v>42</v>
      </c>
    </row>
    <row r="16" spans="1:5" x14ac:dyDescent="0.25">
      <c r="B16" t="s">
        <v>27</v>
      </c>
      <c r="C16" t="s">
        <v>42</v>
      </c>
      <c r="D16" t="s">
        <v>117</v>
      </c>
    </row>
    <row r="17" spans="2:4" x14ac:dyDescent="0.25">
      <c r="B17" t="s">
        <v>29</v>
      </c>
      <c r="C17" t="s">
        <v>30</v>
      </c>
      <c r="D17" t="s">
        <v>117</v>
      </c>
    </row>
    <row r="18" spans="2:4" x14ac:dyDescent="0.25">
      <c r="B18" t="s">
        <v>54</v>
      </c>
      <c r="C18" t="s">
        <v>118</v>
      </c>
    </row>
    <row r="19" spans="2:4" x14ac:dyDescent="0.25">
      <c r="B19" t="s">
        <v>47</v>
      </c>
      <c r="C19" t="s">
        <v>49</v>
      </c>
    </row>
    <row r="20" spans="2:4" x14ac:dyDescent="0.25">
      <c r="B20" t="s">
        <v>44</v>
      </c>
      <c r="C20" t="s">
        <v>45</v>
      </c>
    </row>
    <row r="21" spans="2:4" x14ac:dyDescent="0.25">
      <c r="B21" t="s">
        <v>48</v>
      </c>
      <c r="C21" t="s">
        <v>49</v>
      </c>
    </row>
    <row r="22" spans="2:4" x14ac:dyDescent="0.25">
      <c r="B22" t="s">
        <v>51</v>
      </c>
      <c r="C22" t="s">
        <v>50</v>
      </c>
    </row>
    <row r="23" spans="2:4" x14ac:dyDescent="0.25">
      <c r="B23" t="s">
        <v>46</v>
      </c>
      <c r="C23" t="s">
        <v>57</v>
      </c>
    </row>
    <row r="24" spans="2:4" x14ac:dyDescent="0.25">
      <c r="B24" t="s">
        <v>52</v>
      </c>
      <c r="C24" t="s">
        <v>53</v>
      </c>
    </row>
    <row r="25" spans="2:4" x14ac:dyDescent="0.25">
      <c r="B25" t="s">
        <v>28</v>
      </c>
      <c r="C25" t="s">
        <v>43</v>
      </c>
      <c r="D25" t="s">
        <v>117</v>
      </c>
    </row>
    <row r="26" spans="2:4" x14ac:dyDescent="0.25">
      <c r="B26" t="s">
        <v>38</v>
      </c>
      <c r="C26" t="s">
        <v>40</v>
      </c>
    </row>
    <row r="27" spans="2:4" x14ac:dyDescent="0.25">
      <c r="B27" t="s">
        <v>39</v>
      </c>
      <c r="C27" t="s">
        <v>40</v>
      </c>
    </row>
    <row r="28" spans="2:4" x14ac:dyDescent="0.25">
      <c r="B28" t="s">
        <v>55</v>
      </c>
      <c r="C28" t="s">
        <v>56</v>
      </c>
    </row>
    <row r="29" spans="2:4" x14ac:dyDescent="0.25">
      <c r="B29" t="s">
        <v>119</v>
      </c>
      <c r="C29" t="s">
        <v>135</v>
      </c>
    </row>
    <row r="30" spans="2:4" x14ac:dyDescent="0.25">
      <c r="B30" t="s">
        <v>120</v>
      </c>
      <c r="C30" t="s">
        <v>134</v>
      </c>
    </row>
    <row r="31" spans="2:4" x14ac:dyDescent="0.25">
      <c r="B31" t="s">
        <v>121</v>
      </c>
      <c r="C31" t="s">
        <v>133</v>
      </c>
    </row>
    <row r="32" spans="2:4" x14ac:dyDescent="0.25">
      <c r="B32" t="s">
        <v>122</v>
      </c>
      <c r="C32" t="s">
        <v>130</v>
      </c>
      <c r="D32" t="s">
        <v>128</v>
      </c>
    </row>
    <row r="33" spans="2:4" x14ac:dyDescent="0.25">
      <c r="B33" t="s">
        <v>123</v>
      </c>
      <c r="C33" t="s">
        <v>132</v>
      </c>
      <c r="D33" t="s">
        <v>129</v>
      </c>
    </row>
    <row r="34" spans="2:4" x14ac:dyDescent="0.25">
      <c r="B34" t="s">
        <v>124</v>
      </c>
      <c r="C34" t="s">
        <v>131</v>
      </c>
    </row>
    <row r="35" spans="2:4" x14ac:dyDescent="0.25">
      <c r="B35" t="s">
        <v>125</v>
      </c>
      <c r="C35" t="s">
        <v>136</v>
      </c>
    </row>
    <row r="36" spans="2:4" x14ac:dyDescent="0.25">
      <c r="B36" t="s">
        <v>126</v>
      </c>
      <c r="C36" t="s">
        <v>137</v>
      </c>
    </row>
    <row r="37" spans="2:4" x14ac:dyDescent="0.25">
      <c r="B37" t="s">
        <v>127</v>
      </c>
      <c r="C37" t="s">
        <v>137</v>
      </c>
    </row>
  </sheetData>
  <sortState xmlns:xlrd2="http://schemas.microsoft.com/office/spreadsheetml/2017/richdata2" ref="A13:F28">
    <sortCondition ref="B13:B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6BB5-95B3-4C7C-B5A9-46E65D959436}">
  <dimension ref="A1:G33"/>
  <sheetViews>
    <sheetView tabSelected="1" workbookViewId="0">
      <selection activeCell="K29" sqref="K29"/>
    </sheetView>
  </sheetViews>
  <sheetFormatPr defaultRowHeight="15" x14ac:dyDescent="0.25"/>
  <cols>
    <col min="1" max="1" width="12" customWidth="1"/>
    <col min="2" max="2" width="12.28515625" customWidth="1"/>
  </cols>
  <sheetData>
    <row r="1" spans="1:7" s="1" customFormat="1" x14ac:dyDescent="0.25">
      <c r="A1" s="1" t="s">
        <v>100</v>
      </c>
    </row>
    <row r="2" spans="1:7" x14ac:dyDescent="0.25">
      <c r="A2" t="s">
        <v>103</v>
      </c>
      <c r="B2">
        <v>2.1055000000000001</v>
      </c>
      <c r="C2" t="s">
        <v>101</v>
      </c>
      <c r="D2">
        <v>0.47499999999999998</v>
      </c>
      <c r="E2" t="s">
        <v>95</v>
      </c>
    </row>
    <row r="3" spans="1:7" x14ac:dyDescent="0.25">
      <c r="A3" t="s">
        <v>102</v>
      </c>
      <c r="B3">
        <v>14.736000000000001</v>
      </c>
      <c r="C3" t="s">
        <v>101</v>
      </c>
      <c r="D3" t="s">
        <v>105</v>
      </c>
      <c r="F3" t="s">
        <v>111</v>
      </c>
    </row>
    <row r="4" spans="1:7" x14ac:dyDescent="0.25">
      <c r="A4" t="s">
        <v>104</v>
      </c>
    </row>
    <row r="5" spans="1:7" x14ac:dyDescent="0.25">
      <c r="A5" t="s">
        <v>106</v>
      </c>
      <c r="B5">
        <v>0</v>
      </c>
    </row>
    <row r="6" spans="1:7" x14ac:dyDescent="0.25">
      <c r="A6" t="s">
        <v>107</v>
      </c>
      <c r="B6">
        <v>1</v>
      </c>
      <c r="D6" t="s">
        <v>109</v>
      </c>
    </row>
    <row r="7" spans="1:7" x14ac:dyDescent="0.25">
      <c r="A7" t="s">
        <v>108</v>
      </c>
      <c r="B7">
        <v>0</v>
      </c>
    </row>
    <row r="9" spans="1:7" s="1" customFormat="1" x14ac:dyDescent="0.25">
      <c r="A9" s="1" t="s">
        <v>112</v>
      </c>
    </row>
    <row r="10" spans="1:7" x14ac:dyDescent="0.25">
      <c r="A10" t="s">
        <v>138</v>
      </c>
      <c r="B10" t="s">
        <v>139</v>
      </c>
    </row>
    <row r="11" spans="1:7" x14ac:dyDescent="0.25">
      <c r="A11" t="s">
        <v>140</v>
      </c>
      <c r="B11" t="s">
        <v>141</v>
      </c>
    </row>
    <row r="12" spans="1:7" x14ac:dyDescent="0.25">
      <c r="A12" t="s">
        <v>142</v>
      </c>
      <c r="B12">
        <v>331</v>
      </c>
    </row>
    <row r="14" spans="1:7" x14ac:dyDescent="0.25">
      <c r="A14" t="s">
        <v>20</v>
      </c>
      <c r="B14">
        <v>80</v>
      </c>
      <c r="C14" t="s">
        <v>87</v>
      </c>
      <c r="D14">
        <f>B14*7</f>
        <v>560</v>
      </c>
      <c r="E14" t="s">
        <v>144</v>
      </c>
      <c r="F14">
        <f>B14*0.475</f>
        <v>38</v>
      </c>
      <c r="G14" t="s">
        <v>95</v>
      </c>
    </row>
    <row r="15" spans="1:7" x14ac:dyDescent="0.25">
      <c r="A15" t="s">
        <v>92</v>
      </c>
      <c r="B15">
        <v>2</v>
      </c>
      <c r="C15" t="s">
        <v>87</v>
      </c>
      <c r="D15">
        <f t="shared" ref="D15:D18" si="0">B15*7</f>
        <v>14</v>
      </c>
      <c r="E15" t="s">
        <v>144</v>
      </c>
      <c r="F15">
        <f t="shared" ref="F15:F18" si="1">B15*0.475</f>
        <v>0.95</v>
      </c>
      <c r="G15" t="s">
        <v>95</v>
      </c>
    </row>
    <row r="16" spans="1:7" x14ac:dyDescent="0.25">
      <c r="A16" t="s">
        <v>94</v>
      </c>
      <c r="B16">
        <v>8</v>
      </c>
      <c r="C16" t="s">
        <v>87</v>
      </c>
      <c r="D16">
        <f t="shared" si="0"/>
        <v>56</v>
      </c>
      <c r="E16" t="s">
        <v>144</v>
      </c>
      <c r="F16">
        <f t="shared" si="1"/>
        <v>3.8</v>
      </c>
      <c r="G16" t="s">
        <v>95</v>
      </c>
    </row>
    <row r="17" spans="1:7" x14ac:dyDescent="0.25">
      <c r="A17" t="s">
        <v>93</v>
      </c>
      <c r="B17">
        <v>16</v>
      </c>
      <c r="C17" t="s">
        <v>87</v>
      </c>
      <c r="D17">
        <f t="shared" si="0"/>
        <v>112</v>
      </c>
      <c r="E17" t="s">
        <v>144</v>
      </c>
      <c r="F17">
        <f t="shared" si="1"/>
        <v>7.6</v>
      </c>
      <c r="G17" t="s">
        <v>95</v>
      </c>
    </row>
    <row r="18" spans="1:7" x14ac:dyDescent="0.25">
      <c r="A18" t="s">
        <v>143</v>
      </c>
      <c r="B18">
        <v>106</v>
      </c>
      <c r="C18" t="s">
        <v>87</v>
      </c>
      <c r="D18">
        <f t="shared" si="0"/>
        <v>742</v>
      </c>
      <c r="E18" t="s">
        <v>144</v>
      </c>
      <c r="F18">
        <f t="shared" si="1"/>
        <v>50.349999999999994</v>
      </c>
      <c r="G18" t="s">
        <v>95</v>
      </c>
    </row>
    <row r="20" spans="1:7" x14ac:dyDescent="0.25">
      <c r="A20" t="s">
        <v>96</v>
      </c>
      <c r="B20">
        <v>8</v>
      </c>
      <c r="C20" t="s">
        <v>99</v>
      </c>
      <c r="D20">
        <f>B20*D$18</f>
        <v>5936</v>
      </c>
      <c r="E20" t="s">
        <v>144</v>
      </c>
      <c r="F20">
        <f>D20*0.067857</f>
        <v>402.79915199999999</v>
      </c>
      <c r="G20" t="s">
        <v>95</v>
      </c>
    </row>
    <row r="21" spans="1:7" x14ac:dyDescent="0.25">
      <c r="A21" t="s">
        <v>98</v>
      </c>
      <c r="B21">
        <v>3</v>
      </c>
      <c r="C21" t="s">
        <v>99</v>
      </c>
      <c r="D21">
        <f t="shared" ref="D21:D23" si="2">B21*D$18</f>
        <v>2226</v>
      </c>
      <c r="E21" t="s">
        <v>144</v>
      </c>
      <c r="F21">
        <f t="shared" ref="F21:F23" si="3">D21*0.067857</f>
        <v>151.04968199999999</v>
      </c>
      <c r="G21" t="s">
        <v>95</v>
      </c>
    </row>
    <row r="22" spans="1:7" x14ac:dyDescent="0.25">
      <c r="A22" t="s">
        <v>97</v>
      </c>
      <c r="B22">
        <v>20</v>
      </c>
      <c r="C22" t="s">
        <v>99</v>
      </c>
      <c r="D22">
        <f t="shared" si="2"/>
        <v>14840</v>
      </c>
      <c r="E22" t="s">
        <v>144</v>
      </c>
      <c r="F22">
        <f t="shared" si="3"/>
        <v>1006.99788</v>
      </c>
      <c r="G22" t="s">
        <v>95</v>
      </c>
    </row>
    <row r="23" spans="1:7" x14ac:dyDescent="0.25">
      <c r="A23" t="s">
        <v>145</v>
      </c>
      <c r="B23">
        <f>SUM(B20:B22)</f>
        <v>31</v>
      </c>
      <c r="C23" t="s">
        <v>99</v>
      </c>
      <c r="D23">
        <f t="shared" si="2"/>
        <v>23002</v>
      </c>
      <c r="E23" t="s">
        <v>144</v>
      </c>
      <c r="F23">
        <f t="shared" si="3"/>
        <v>1560.846714</v>
      </c>
      <c r="G23" t="s">
        <v>95</v>
      </c>
    </row>
    <row r="25" spans="1:7" x14ac:dyDescent="0.25">
      <c r="A25" s="5" t="s">
        <v>113</v>
      </c>
      <c r="B25" s="6"/>
      <c r="C25" s="6"/>
      <c r="D25" s="6"/>
    </row>
    <row r="26" spans="1:7" x14ac:dyDescent="0.25">
      <c r="A26" s="3" t="s">
        <v>114</v>
      </c>
      <c r="B26" s="3"/>
      <c r="C26" s="3"/>
      <c r="D26" s="3"/>
    </row>
    <row r="27" spans="1:7" x14ac:dyDescent="0.25">
      <c r="A27" s="3" t="s">
        <v>116</v>
      </c>
      <c r="B27" s="3"/>
      <c r="C27" s="3"/>
      <c r="D27" s="3"/>
    </row>
    <row r="28" spans="1:7" x14ac:dyDescent="0.25">
      <c r="A28" s="3" t="s">
        <v>115</v>
      </c>
      <c r="B28" s="3"/>
      <c r="C28" s="3"/>
      <c r="D28" s="3"/>
    </row>
    <row r="29" spans="1:7" x14ac:dyDescent="0.25">
      <c r="A29" s="3" t="s">
        <v>79</v>
      </c>
      <c r="B29" s="3"/>
      <c r="C29" s="3"/>
      <c r="D29" s="3"/>
    </row>
    <row r="30" spans="1:7" x14ac:dyDescent="0.25">
      <c r="A30" s="3" t="s">
        <v>80</v>
      </c>
      <c r="B30" s="3"/>
      <c r="C30" s="3"/>
      <c r="D30" s="3"/>
    </row>
    <row r="31" spans="1:7" x14ac:dyDescent="0.25">
      <c r="A31" s="4" t="s">
        <v>82</v>
      </c>
      <c r="B31" s="3"/>
      <c r="C31" s="3"/>
      <c r="D31" s="3"/>
    </row>
    <row r="32" spans="1:7" x14ac:dyDescent="0.25">
      <c r="A32" s="4" t="s">
        <v>83</v>
      </c>
      <c r="B32" s="3"/>
      <c r="C32" s="3"/>
      <c r="D32" s="3"/>
    </row>
    <row r="33" spans="1:4" x14ac:dyDescent="0.25">
      <c r="A33" s="3"/>
      <c r="B33" s="3"/>
      <c r="C33" s="3"/>
      <c r="D3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2471-060A-4267-93BC-0B25B8865F33}">
  <dimension ref="A1:Z171"/>
  <sheetViews>
    <sheetView workbookViewId="0">
      <selection activeCell="C4" sqref="C4"/>
    </sheetView>
  </sheetViews>
  <sheetFormatPr defaultRowHeight="15" x14ac:dyDescent="0.25"/>
  <cols>
    <col min="1" max="1" width="12" customWidth="1"/>
    <col min="2" max="2" width="7.7109375" customWidth="1"/>
    <col min="3" max="3" width="9.85546875" customWidth="1"/>
    <col min="4" max="4" width="11.42578125" customWidth="1"/>
  </cols>
  <sheetData>
    <row r="1" spans="1:10" s="1" customFormat="1" x14ac:dyDescent="0.25">
      <c r="B1" s="1" t="s">
        <v>60</v>
      </c>
      <c r="C1" s="1" t="s">
        <v>63</v>
      </c>
      <c r="D1" s="1" t="s">
        <v>86</v>
      </c>
      <c r="E1" s="1" t="s">
        <v>85</v>
      </c>
    </row>
    <row r="2" spans="1:10" x14ac:dyDescent="0.25">
      <c r="A2" t="s">
        <v>59</v>
      </c>
      <c r="B2">
        <v>19872</v>
      </c>
      <c r="C2" t="s">
        <v>65</v>
      </c>
      <c r="D2">
        <v>15.945</v>
      </c>
      <c r="E2">
        <v>34.409999999999997</v>
      </c>
    </row>
    <row r="3" spans="1:10" x14ac:dyDescent="0.25">
      <c r="A3" t="s">
        <v>84</v>
      </c>
      <c r="C3" t="s">
        <v>65</v>
      </c>
      <c r="D3">
        <v>3.8</v>
      </c>
      <c r="E3">
        <v>46.55</v>
      </c>
      <c r="G3">
        <f>3.8/0.475</f>
        <v>8</v>
      </c>
      <c r="H3" t="s">
        <v>87</v>
      </c>
    </row>
    <row r="4" spans="1:10" x14ac:dyDescent="0.25">
      <c r="A4" t="s">
        <v>58</v>
      </c>
      <c r="B4">
        <v>60</v>
      </c>
      <c r="C4" t="s">
        <v>64</v>
      </c>
      <c r="D4" t="s">
        <v>61</v>
      </c>
      <c r="E4" t="s">
        <v>62</v>
      </c>
      <c r="G4" t="s">
        <v>66</v>
      </c>
      <c r="I4" t="s">
        <v>67</v>
      </c>
      <c r="J4" t="s">
        <v>68</v>
      </c>
    </row>
    <row r="6" spans="1:10" x14ac:dyDescent="0.25">
      <c r="A6" t="s">
        <v>74</v>
      </c>
    </row>
    <row r="7" spans="1:10" x14ac:dyDescent="0.25">
      <c r="A7" t="s">
        <v>73</v>
      </c>
    </row>
    <row r="9" spans="1:10" x14ac:dyDescent="0.25">
      <c r="A9" t="s">
        <v>110</v>
      </c>
    </row>
    <row r="11" spans="1:10" x14ac:dyDescent="0.25">
      <c r="A11" s="3" t="s">
        <v>79</v>
      </c>
      <c r="B11" s="3"/>
      <c r="C11" s="3"/>
      <c r="D11" s="3"/>
    </row>
    <row r="12" spans="1:10" x14ac:dyDescent="0.25">
      <c r="A12" s="3" t="s">
        <v>80</v>
      </c>
      <c r="B12" s="3"/>
      <c r="C12" s="3"/>
      <c r="D12" s="3"/>
    </row>
    <row r="13" spans="1:10" x14ac:dyDescent="0.25">
      <c r="A13" s="4" t="s">
        <v>82</v>
      </c>
      <c r="B13" s="3"/>
      <c r="C13" s="3"/>
      <c r="D13" s="3"/>
    </row>
    <row r="14" spans="1:10" x14ac:dyDescent="0.25">
      <c r="A14" s="4" t="s">
        <v>83</v>
      </c>
      <c r="B14" s="3"/>
      <c r="C14" s="3"/>
      <c r="D14" s="3"/>
    </row>
    <row r="15" spans="1:10" x14ac:dyDescent="0.25">
      <c r="A15" s="2"/>
    </row>
    <row r="20" spans="16:16" x14ac:dyDescent="0.25">
      <c r="P20" t="s">
        <v>75</v>
      </c>
    </row>
    <row r="21" spans="16:16" x14ac:dyDescent="0.25">
      <c r="P21" t="s">
        <v>76</v>
      </c>
    </row>
    <row r="45" spans="26:26" x14ac:dyDescent="0.25">
      <c r="Z45" t="s">
        <v>77</v>
      </c>
    </row>
    <row r="56" spans="7:15" x14ac:dyDescent="0.25">
      <c r="G56" t="s">
        <v>71</v>
      </c>
    </row>
    <row r="59" spans="7:15" x14ac:dyDescent="0.25">
      <c r="O59" t="s">
        <v>70</v>
      </c>
    </row>
    <row r="60" spans="7:15" x14ac:dyDescent="0.25">
      <c r="O60" t="s">
        <v>72</v>
      </c>
    </row>
    <row r="72" spans="18:18" x14ac:dyDescent="0.25">
      <c r="R72" t="s">
        <v>69</v>
      </c>
    </row>
    <row r="116" spans="1:1" x14ac:dyDescent="0.25">
      <c r="A116" t="s">
        <v>78</v>
      </c>
    </row>
    <row r="133" spans="1:1" x14ac:dyDescent="0.25">
      <c r="A133" t="s">
        <v>81</v>
      </c>
    </row>
    <row r="150" spans="1:1" x14ac:dyDescent="0.25">
      <c r="A150" t="s">
        <v>88</v>
      </c>
    </row>
    <row r="151" spans="1:1" x14ac:dyDescent="0.25">
      <c r="A151" t="s">
        <v>91</v>
      </c>
    </row>
    <row r="170" spans="1:1" x14ac:dyDescent="0.25">
      <c r="A170" t="s">
        <v>89</v>
      </c>
    </row>
    <row r="171" spans="1:1" x14ac:dyDescent="0.25">
      <c r="A17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components</vt:lpstr>
      <vt:lpstr>video_timing</vt:lpstr>
      <vt:lpstr>video_timing_misc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 Westveld</cp:lastModifiedBy>
  <dcterms:created xsi:type="dcterms:W3CDTF">2015-06-05T18:17:20Z</dcterms:created>
  <dcterms:modified xsi:type="dcterms:W3CDTF">2026-05-19T21:35:01Z</dcterms:modified>
</cp:coreProperties>
</file>